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5713c8201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53beaad84ea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4">
    <x:font>
      <x:sz val="11"/>
      <x:name val="Carlito"/>
    </x:font>
    <x:font>
      <x:b/>
      <x:sz val="11"/>
      <x:color rgb="FF000000"/>
      <x:name val="Carlito"/>
    </x:font>
    <x:font>
      <x:b/>
      <x:sz val="10"/>
      <x:color rgb="FF000000"/>
      <x:name val="Calibri"/>
    </x:font>
    <x:font>
      <x:sz val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right" vertical="top" wrapText="1"/>
    </x:xf>
    <x:xf numFmtId="200" fontId="3" fillId="0" borderId="2" xfId="0" applyNumberFormat="1" applyFont="1" applyFill="1" applyBorder="1" applyAlignment="1">
      <x:alignment horizontal="right" vertical="top" wrapText="1"/>
    </x:xf>
    <x:xf numFmtId="201" fontId="3" fillId="0" borderId="2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 applyAlignment="1">
      <x:alignment horizontal="right"/>
    </x:xf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27d3de7ae4a6e" /><Relationship Type="http://schemas.openxmlformats.org/officeDocument/2006/relationships/theme" Target="/xl/theme/theme1.xml" Id="R51ab418fb94749a6" /><Relationship Type="http://schemas.openxmlformats.org/officeDocument/2006/relationships/sharedStrings" Target="/xl/sharedStrings.xml" Id="R48397279a69545f9" /><Relationship Type="http://schemas.openxmlformats.org/officeDocument/2006/relationships/worksheet" Target="/xl/worksheets/sheet1.xml" Id="R053beaad84ea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86" hidden="0" customWidth="1"/>
    <x:col min="4" max="4" width="10" hidden="0" customWidth="1"/>
    <x:col min="5" max="5" width="12" hidden="0" customWidth="1"/>
    <x:col min="6" max="6" width="16" hidden="0" customWidth="1"/>
    <x:col min="7" max="7" width="14" hidden="0" customWidth="1"/>
    <x:col min="8" max="8" width="16" hidden="0" customWidth="1"/>
  </x:cols>
  <x:sheetData>
    <x:row r="1" ht="28" customHeight="1">
      <x:c r="A1" s="11" t="str">
        <x:v>Category</x:v>
      </x:c>
      <x:c r="B1" s="11" t="str">
        <x:v>Item Name</x:v>
      </x:c>
      <x:c r="C1" s="11" t="str">
        <x:v>Specification / Model</x:v>
      </x:c>
      <x:c r="D1" s="11" t="str">
        <x:v>Quantity</x:v>
      </x:c>
      <x:c r="E1" s="11" t="str">
        <x:v>Unit</x:v>
      </x:c>
      <x:c r="F1" s="11" t="str">
        <x:v>Unit Price (RMB)</x:v>
      </x:c>
      <x:c r="G1" s="11" t="str">
        <x:v>Total (RMB)</x:v>
      </x:c>
      <x:c r="H1" s="11" t="str">
        <x:v>Source</x:v>
      </x:c>
    </x:row>
    <x:row r="2" ht="15" hidden="0" customHeight="1">
      <x:c r="A2" s="14" t="str">
        <x:v>Camera / Vision</x:v>
      </x:c>
      <x:c r="B2" s="14" t="str">
        <x:v>OV5640 camera module with USB cable</x:v>
      </x:c>
      <x:c r="C2" s="14" t="str">
        <x:v>5 MP OV5640 USB camera module; auto-focus; 160-degree wide-angle lens</x:v>
      </x:c>
      <x:c r="D2" s="16" t="n">
        <x:v>1</x:v>
      </x:c>
      <x:c r="E2" s="13" t="str">
        <x:v>set</x:v>
      </x:c>
      <x:c r="F2" s="17" t="n">
        <x:v>70.6</x:v>
      </x:c>
      <x:c r="G2" s="17" t="n">
        <x:f>IF(F2="","",D2*F2)</x:f>
        <x:v>70.6</x:v>
      </x:c>
      <x:c r="H2" s="14" t="str">
        <x:v>V01</x:v>
      </x:c>
    </x:row>
    <x:row r="3" ht="15" hidden="0" customHeight="1">
      <x:c r="A3" s="14" t="str">
        <x:v>Fasteners</x:v>
      </x:c>
      <x:c r="B3" s="14" t="str">
        <x:v>304 stainless flat washer</x:v>
      </x:c>
      <x:c r="C3" s="14" t="str">
        <x:v>M6 x 12 x 1.5; enlarged/thickened flat washer; 50 pcs/pack</x:v>
      </x:c>
      <x:c r="D3" s="16" t="n">
        <x:v>1</x:v>
      </x:c>
      <x:c r="E3" s="13" t="str">
        <x:v>pack</x:v>
      </x:c>
      <x:c r="F3" s="17" t="n">
        <x:v>2.85</x:v>
      </x:c>
      <x:c r="G3" s="17" t="n">
        <x:f>IF(F3="","",D3*F3)</x:f>
        <x:v>2.85</x:v>
      </x:c>
      <x:c r="H3" s="14" t="str">
        <x:v>V02</x:v>
      </x:c>
    </x:row>
    <x:row r="4" ht="15" hidden="0" customHeight="1">
      <x:c r="A4" s="14" t="str">
        <x:v>Fasteners</x:v>
      </x:c>
      <x:c r="B4" s="14" t="str">
        <x:v>304 stainless hex nut</x:v>
      </x:c>
      <x:c r="C4" s="14" t="str">
        <x:v>M6 hex nut; 50 pcs/pack</x:v>
      </x:c>
      <x:c r="D4" s="16" t="n">
        <x:v>1</x:v>
      </x:c>
      <x:c r="E4" s="13" t="str">
        <x:v>pack</x:v>
      </x:c>
      <x:c r="F4" s="17" t="n">
        <x:v>2.51</x:v>
      </x:c>
      <x:c r="G4" s="17" t="n">
        <x:f>IF(F4="","",D4*F4)</x:f>
        <x:v>2.51</x:v>
      </x:c>
      <x:c r="H4" s="14" t="str">
        <x:v>V02</x:v>
      </x:c>
    </x:row>
    <x:row r="5" ht="15" hidden="0" customHeight="1">
      <x:c r="A5" s="14" t="str">
        <x:v>Tools</x:v>
      </x:c>
      <x:c r="B5" s="14" t="str">
        <x:v>Hex key wrench set</x:v>
      </x:c>
      <x:c r="C5" s="14" t="str">
        <x:v>Greenwood/Lvlin inner hex wrench set; 9-piece ball-end long-arm set</x:v>
      </x:c>
      <x:c r="D5" s="16" t="n">
        <x:v>1</x:v>
      </x:c>
      <x:c r="E5" s="13" t="str">
        <x:v>set</x:v>
      </x:c>
      <x:c r="F5" s="17" t="n">
        <x:v>15.89</x:v>
      </x:c>
      <x:c r="G5" s="17" t="n">
        <x:f>IF(F5="","",D5*F5)</x:f>
        <x:v>15.89</x:v>
      </x:c>
      <x:c r="H5" s="14" t="str">
        <x:v>V03</x:v>
      </x:c>
    </x:row>
    <x:row r="6" ht="15" hidden="0" customHeight="1">
      <x:c r="A6" s="14" t="str">
        <x:v>Fasteners</x:v>
      </x:c>
      <x:c r="B6" s="14" t="str">
        <x:v>304 stainless countersunk screw</x:v>
      </x:c>
      <x:c r="C6" s="14" t="str">
        <x:v>Cross recessed flat/countersunk head machine screw; M6 x 18; 20 pcs/pack</x:v>
      </x:c>
      <x:c r="D6" s="16" t="n">
        <x:v>1</x:v>
      </x:c>
      <x:c r="E6" s="13" t="str">
        <x:v>pack</x:v>
      </x:c>
      <x:c r="F6" s="17" t="n">
        <x:v>3.84</x:v>
      </x:c>
      <x:c r="G6" s="17" t="n">
        <x:f>IF(F6="","",D6*F6)</x:f>
        <x:v>3.84</x:v>
      </x:c>
      <x:c r="H6" s="14" t="str">
        <x:v>V04</x:v>
      </x:c>
    </x:row>
    <x:row r="7" ht="15" hidden="0" customHeight="1">
      <x:c r="A7" s="14" t="str">
        <x:v>Fasteners</x:v>
      </x:c>
      <x:c r="B7" s="14" t="str">
        <x:v>304 stainless countersunk screw</x:v>
      </x:c>
      <x:c r="C7" s="14" t="str">
        <x:v>Cross recessed flat/countersunk head machine screw; M3 x 45; 50 pcs/pack</x:v>
      </x:c>
      <x:c r="D7" s="16" t="n">
        <x:v>1</x:v>
      </x:c>
      <x:c r="E7" s="13" t="str">
        <x:v>pack</x:v>
      </x:c>
      <x:c r="F7" s="17" t="n">
        <x:v>5.68</x:v>
      </x:c>
      <x:c r="G7" s="17" t="n">
        <x:f>IF(F7="","",D7*F7)</x:f>
        <x:v>5.68</x:v>
      </x:c>
      <x:c r="H7" s="14" t="str">
        <x:v>V04</x:v>
      </x:c>
    </x:row>
    <x:row r="8" ht="15" hidden="0" customHeight="1">
      <x:c r="A8" s="14" t="str">
        <x:v>Tools</x:v>
      </x:c>
      <x:c r="B8" s="14" t="str">
        <x:v>Mini bench vise</x:v>
      </x:c>
      <x:c r="C8" s="14" t="str">
        <x:v>Small desktop bench vise / clamp for prototype fabrication</x:v>
      </x:c>
      <x:c r="D8" s="16" t="n">
        <x:v>1</x:v>
      </x:c>
      <x:c r="E8" s="13" t="str">
        <x:v>set</x:v>
      </x:c>
      <x:c r="F8" s="17" t="n">
        <x:v>21.8</x:v>
      </x:c>
      <x:c r="G8" s="17" t="n">
        <x:f>IF(F8="","",D8*F8)</x:f>
        <x:v>21.8</x:v>
      </x:c>
      <x:c r="H8" s="14" t="str">
        <x:v>V05</x:v>
      </x:c>
    </x:row>
    <x:row r="9" ht="15" hidden="0" customHeight="1">
      <x:c r="A9" s="14" t="str">
        <x:v>Sheet material</x:v>
      </x:c>
      <x:c r="B9" s="14" t="str">
        <x:v>Transparent acrylic / PC plate</x:v>
      </x:c>
      <x:c r="C9" s="14" t="str">
        <x:v>Transparent acrylic / PC / PVC sheet; custom-cut plate for prototype panel</x:v>
      </x:c>
      <x:c r="D9" s="16" t="n">
        <x:v>8</x:v>
      </x:c>
      <x:c r="E9" s="13" t="str">
        <x:v>pcs</x:v>
      </x:c>
      <x:c r="F9" s="17" t="n">
        <x:v>4.75</x:v>
      </x:c>
      <x:c r="G9" s="17" t="n">
        <x:f>IF(F9="","",D9*F9)</x:f>
        <x:v>38</x:v>
      </x:c>
      <x:c r="H9" s="14" t="str">
        <x:v>V06</x:v>
      </x:c>
    </x:row>
    <x:row r="10" ht="15" hidden="0" customHeight="1">
      <x:c r="A10" s="14" t="str">
        <x:v>Sheet material</x:v>
      </x:c>
      <x:c r="B10" s="14" t="str">
        <x:v>PMMA acrylic sheet</x:v>
      </x:c>
      <x:c r="C10" s="14" t="str">
        <x:v>High-transparency PMMA acrylic sheet; CNC cutting / UV printing / custom processing; 1 x 1 mm option shown</x:v>
      </x:c>
      <x:c r="D10" s="16" t="n">
        <x:v>3</x:v>
      </x:c>
      <x:c r="E10" s="13" t="str">
        <x:v>pcs</x:v>
      </x:c>
      <x:c r="F10" s="17" t="n">
        <x:v>10</x:v>
      </x:c>
      <x:c r="G10" s="17" t="n">
        <x:f>IF(F10="","",D10*F10)</x:f>
        <x:v>30</x:v>
      </x:c>
      <x:c r="H10" s="14" t="str">
        <x:v>V07</x:v>
      </x:c>
    </x:row>
    <x:row r="11" ht="15" hidden="0" customHeight="1">
      <x:c r="A11" s="14" t="str">
        <x:v>Fabrication service</x:v>
      </x:c>
      <x:c r="B11" s="14" t="str">
        <x:v>3D printing service</x:v>
      </x:c>
      <x:c r="C11" s="14" t="str">
        <x:v>High-precision resin/nylon 3D printing service for prototype parts</x:v>
      </x:c>
      <x:c r="D11" s="16" t="n">
        <x:v>26</x:v>
      </x:c>
      <x:c r="E11" s="13" t="str">
        <x:v>pcs</x:v>
      </x:c>
      <x:c r="F11" s="17" t="n">
        <x:v>10</x:v>
      </x:c>
      <x:c r="G11" s="17" t="n">
        <x:f>IF(F11="","",D11*F11)</x:f>
        <x:v>260</x:v>
      </x:c>
      <x:c r="H11" s="14" t="str">
        <x:v>V08</x:v>
      </x:c>
    </x:row>
    <x:row r="12" ht="15" hidden="0" customHeight="1">
      <x:c r="A12" s="14" t="str">
        <x:v>Molding material</x:v>
      </x:c>
      <x:c r="B12" s="14" t="str">
        <x:v>AB resin / silicone material</x:v>
      </x:c>
      <x:c r="C12" s="14" t="str">
        <x:v>Manual-purpose silicone / AB resin; clear type; 25-degree; 200 g</x:v>
      </x:c>
      <x:c r="D12" s="16" t="n">
        <x:v>1</x:v>
      </x:c>
      <x:c r="E12" s="13" t="str">
        <x:v>bottle/set</x:v>
      </x:c>
      <x:c r="F12" s="17" t="n">
        <x:v>24</x:v>
      </x:c>
      <x:c r="G12" s="17" t="n">
        <x:f>IF(F12="","",D12*F12)</x:f>
        <x:v>24</x:v>
      </x:c>
      <x:c r="H12" s="14" t="str">
        <x:v>V09</x:v>
      </x:c>
    </x:row>
    <x:row r="13" ht="15" hidden="0" customHeight="1">
      <x:c r="A13" s="14" t="str">
        <x:v>Molding material</x:v>
      </x:c>
      <x:c r="B13" s="14" t="str">
        <x:v>AB resin / silicone material</x:v>
      </x:c>
      <x:c r="C13" s="14" t="str">
        <x:v>Manual-purpose silicone / AB resin; clear type; 25-degree; 300 g</x:v>
      </x:c>
      <x:c r="D13" s="16" t="n">
        <x:v>1</x:v>
      </x:c>
      <x:c r="E13" s="13" t="str">
        <x:v>bottle/set</x:v>
      </x:c>
      <x:c r="F13" s="17" t="n">
        <x:v>30</x:v>
      </x:c>
      <x:c r="G13" s="17" t="n">
        <x:f>IF(F13="","",D13*F13)</x:f>
        <x:v>30</x:v>
      </x:c>
      <x:c r="H13" s="14" t="str">
        <x:v>V09</x:v>
      </x:c>
    </x:row>
    <x:row r="14" ht="15" hidden="0" customHeight="1">
      <x:c r="A14" s="14" t="str">
        <x:v>Molding material</x:v>
      </x:c>
      <x:c r="B14" s="14" t="str">
        <x:v>AB silicone pigment</x:v>
      </x:c>
      <x:c r="C14" s="14" t="str">
        <x:v>Food-grade AB silicone color paste; black; 20 g</x:v>
      </x:c>
      <x:c r="D14" s="16" t="n">
        <x:v>1</x:v>
      </x:c>
      <x:c r="E14" s="13" t="str">
        <x:v>bottle</x:v>
      </x:c>
      <x:c r="F14" s="17" t="n">
        <x:v>17.37</x:v>
      </x:c>
      <x:c r="G14" s="17" t="n">
        <x:f>IF(F14="","",D14*F14)</x:f>
        <x:v>17.37</x:v>
      </x:c>
      <x:c r="H14" s="14" t="str">
        <x:v>V10</x:v>
      </x:c>
    </x:row>
    <x:row r="15" ht="15" hidden="0" customHeight="1">
      <x:c r="A15" s="14" t="str">
        <x:v>Molding material</x:v>
      </x:c>
      <x:c r="B15" s="14" t="str">
        <x:v>PDMS transparent mold silicone</x:v>
      </x:c>
      <x:c r="C15" s="14" t="str">
        <x:v>High-transparency silicone for molds; 6-8 h curing; 500 g; G50 bubble-removal option; net retained after refunds</x:v>
      </x:c>
      <x:c r="D15" s="16" t="n">
        <x:v>1</x:v>
      </x:c>
      <x:c r="E15" s="13" t="str">
        <x:v>set</x:v>
      </x:c>
      <x:c r="F15" s="17" t="n">
        <x:v>37.54</x:v>
      </x:c>
      <x:c r="G15" s="17" t="n">
        <x:f>IF(F15="","",D15*F15)</x:f>
        <x:v>37.54</x:v>
      </x:c>
      <x:c r="H15" s="14" t="str">
        <x:v>V10</x:v>
      </x:c>
    </x:row>
    <x:row r="16" ht="15" hidden="0" customHeight="1">
      <x:c r="A16" s="14" t="str">
        <x:v>Cable</x:v>
      </x:c>
      <x:c r="B16" s="14" t="str">
        <x:v>Micro USB data / charging cable</x:v>
      </x:c>
      <x:c r="C16" s="14" t="str">
        <x:v>Ugreen Micro USB cable; 0.5 m; USB 2.0; black</x:v>
      </x:c>
      <x:c r="D16" s="16" t="n">
        <x:v>1</x:v>
      </x:c>
      <x:c r="E16" s="13" t="str">
        <x:v>pcs</x:v>
      </x:c>
      <x:c r="F16" s="17" t="n">
        <x:v>11.9</x:v>
      </x:c>
      <x:c r="G16" s="17" t="n">
        <x:f>IF(F16="","",D16*F16)</x:f>
        <x:v>11.9</x:v>
      </x:c>
      <x:c r="H16" s="14" t="str">
        <x:v>V11</x:v>
      </x:c>
    </x:row>
    <x:row r="17" ht="15" hidden="0" customHeight="1">
      <x:c r="A17" s="14" t="str">
        <x:v>Tools</x:v>
      </x:c>
      <x:c r="B17" s="14" t="str">
        <x:v>Mini bench vise</x:v>
      </x:c>
      <x:c r="C17" s="14" t="str">
        <x:v>Small bench vise / table clamp for prototype work</x:v>
      </x:c>
      <x:c r="D17" s="16" t="n">
        <x:v>1</x:v>
      </x:c>
      <x:c r="E17" s="13" t="str">
        <x:v>set</x:v>
      </x:c>
      <x:c r="F17" s="17" t="n">
        <x:v>37</x:v>
      </x:c>
      <x:c r="G17" s="17" t="n">
        <x:f>IF(F17="","",D17*F17)</x:f>
        <x:v>37</x:v>
      </x:c>
      <x:c r="H17" s="14" t="str">
        <x:v>V12</x:v>
      </x:c>
    </x:row>
    <x:row r="18" ht="15" hidden="0" customHeight="1">
      <x:c r="A18" s="14" t="str">
        <x:v>Camera / Vision</x:v>
      </x:c>
      <x:c r="B18" s="14" t="str">
        <x:v>OV5640 camera module</x:v>
      </x:c>
      <x:c r="C18" s="14" t="str">
        <x:v>5 MP OV5640 USB camera module; auto-focus; 160-degree wide-angle lens</x:v>
      </x:c>
      <x:c r="D18" s="16" t="n">
        <x:v>1</x:v>
      </x:c>
      <x:c r="E18" s="13" t="str">
        <x:v>pcs</x:v>
      </x:c>
      <x:c r="F18" s="17" t="n">
        <x:v>71</x:v>
      </x:c>
      <x:c r="G18" s="17" t="n">
        <x:f>IF(F18="","",D18*F18)</x:f>
        <x:v>71</x:v>
      </x:c>
      <x:c r="H18" s="14" t="str">
        <x:v>V13</x:v>
      </x:c>
    </x:row>
    <x:row r="19" ht="15" hidden="0" customHeight="1">
      <x:c r="A19" s="14" t="str">
        <x:v>Adhesive</x:v>
      </x:c>
      <x:c r="B19" s="14" t="str">
        <x:v>B7000 / T7000 adhesive</x:v>
      </x:c>
      <x:c r="C19" s="14" t="str">
        <x:v>Waterproof adhesive; black; 9400-series/general repair adhesive shown in order title</x:v>
      </x:c>
      <x:c r="D19" s="16" t="n">
        <x:v>1</x:v>
      </x:c>
      <x:c r="E19" s="13" t="str">
        <x:v>tube</x:v>
      </x:c>
      <x:c r="F19" s="17" t="n">
        <x:v>17.82</x:v>
      </x:c>
      <x:c r="G19" s="17" t="n">
        <x:f>IF(F19="","",D19*F19)</x:f>
        <x:v>17.82</x:v>
      </x:c>
      <x:c r="H19" s="14" t="str">
        <x:v>V14</x:v>
      </x:c>
    </x:row>
    <x:row r="20" ht="15" hidden="0" customHeight="1">
      <x:c r="A20" s="14" t="str">
        <x:v>Fasteners</x:v>
      </x:c>
      <x:c r="B20" s="14" t="str">
        <x:v>304 stainless hex nut</x:v>
      </x:c>
      <x:c r="C20" s="14" t="str">
        <x:v>M3 hex nut; 200 pcs/pack</x:v>
      </x:c>
      <x:c r="D20" s="16" t="n">
        <x:v>1</x:v>
      </x:c>
      <x:c r="E20" s="13" t="str">
        <x:v>pack</x:v>
      </x:c>
      <x:c r="F20" s="17" t="n">
        <x:v>4.37</x:v>
      </x:c>
      <x:c r="G20" s="17" t="n">
        <x:f>IF(F20="","",D20*F20)</x:f>
        <x:v>4.37</x:v>
      </x:c>
      <x:c r="H20" s="14" t="str">
        <x:v>V15</x:v>
      </x:c>
    </x:row>
    <x:row r="21" ht="15" hidden="0" customHeight="1">
      <x:c r="A21" s="14" t="str">
        <x:v>Fasteners</x:v>
      </x:c>
      <x:c r="B21" s="14" t="str">
        <x:v>304 stainless flat-head screw</x:v>
      </x:c>
      <x:c r="C21" s="14" t="str">
        <x:v>Cross recessed flat-head screw; M3 x 30; 20 pcs/pack</x:v>
      </x:c>
      <x:c r="D21" s="16" t="n">
        <x:v>1</x:v>
      </x:c>
      <x:c r="E21" s="13" t="str">
        <x:v>pack</x:v>
      </x:c>
      <x:c r="F21" s="17" t="n">
        <x:v>3.23</x:v>
      </x:c>
      <x:c r="G21" s="17" t="n">
        <x:f>IF(F21="","",D21*F21)</x:f>
        <x:v>3.23</x:v>
      </x:c>
      <x:c r="H21" s="14" t="str">
        <x:v>V15</x:v>
      </x:c>
    </x:row>
    <x:row r="22" ht="15" hidden="0" customHeight="1">
      <x:c r="A22" s="14" t="str">
        <x:v>Fasteners</x:v>
      </x:c>
      <x:c r="B22" s="14" t="str">
        <x:v>304 stainless flat-head screw</x:v>
      </x:c>
      <x:c r="C22" s="14" t="str">
        <x:v>Cross recessed flat-head screw; M2 x 6; 100 pcs/pack</x:v>
      </x:c>
      <x:c r="D22" s="16" t="n">
        <x:v>1</x:v>
      </x:c>
      <x:c r="E22" s="13" t="str">
        <x:v>pack</x:v>
      </x:c>
      <x:c r="F22" s="17" t="n">
        <x:v>4.45</x:v>
      </x:c>
      <x:c r="G22" s="17" t="n">
        <x:f>IF(F22="","",D22*F22)</x:f>
        <x:v>4.45</x:v>
      </x:c>
      <x:c r="H22" s="14" t="str">
        <x:v>V15</x:v>
      </x:c>
    </x:row>
    <x:row r="23" ht="15" hidden="0" customHeight="1">
      <x:c r="A23" s="14" t="str">
        <x:v>Fasteners</x:v>
      </x:c>
      <x:c r="B23" s="14" t="str">
        <x:v>304 stainless flat-head screw</x:v>
      </x:c>
      <x:c r="C23" s="14" t="str">
        <x:v>Cross recessed flat-head screw; M2 x 5; 100 pcs/pack</x:v>
      </x:c>
      <x:c r="D23" s="16" t="n">
        <x:v>1</x:v>
      </x:c>
      <x:c r="E23" s="13" t="str">
        <x:v>pack</x:v>
      </x:c>
      <x:c r="F23" s="17" t="n">
        <x:v>4.02</x:v>
      </x:c>
      <x:c r="G23" s="17" t="n">
        <x:f>IF(F23="","",D23*F23)</x:f>
        <x:v>4.02</x:v>
      </x:c>
      <x:c r="H23" s="14" t="str">
        <x:v>V15</x:v>
      </x:c>
    </x:row>
    <x:row r="24" ht="15" hidden="0" customHeight="1">
      <x:c r="A24" s="14" t="str">
        <x:v>Fasteners</x:v>
      </x:c>
      <x:c r="B24" s="14" t="str">
        <x:v>M2/M3 brass insert nut</x:v>
      </x:c>
      <x:c r="C24" s="14" t="str">
        <x:v>Heat-set knurled brass insert nut; M2 x 5 x 3; 100 pcs/pack; for M4/M5/M6/M8 related sizes listing</x:v>
      </x:c>
      <x:c r="D24" s="16" t="n">
        <x:v>1</x:v>
      </x:c>
      <x:c r="E24" s="13" t="str">
        <x:v>pack</x:v>
      </x:c>
      <x:c r="F24" s="17" t="n">
        <x:v>7.73</x:v>
      </x:c>
      <x:c r="G24" s="17" t="n">
        <x:f>IF(F24="","",D24*F24)</x:f>
        <x:v>7.73</x:v>
      </x:c>
      <x:c r="H24" s="14" t="str">
        <x:v>V15</x:v>
      </x:c>
    </x:row>
    <x:row r="25" ht="15" hidden="0" customHeight="1">
      <x:c r="A25" s="14" t="str">
        <x:v>Tools</x:v>
      </x:c>
      <x:c r="B25" s="14" t="str">
        <x:v>Soldering / repair heat-insulation mat</x:v>
      </x:c>
      <x:c r="C25" s="14" t="str">
        <x:v>A802 medium silicone repair/soldering mat; approx. 22 x 29 cm; blue</x:v>
      </x:c>
      <x:c r="D25" s="16" t="n">
        <x:v>1</x:v>
      </x:c>
      <x:c r="E25" s="13" t="str">
        <x:v>pcs</x:v>
      </x:c>
      <x:c r="F25" s="17" t="n">
        <x:v>39.8</x:v>
      </x:c>
      <x:c r="G25" s="17" t="n">
        <x:f>IF(F25="","",D25*F25)</x:f>
        <x:v>39.8</x:v>
      </x:c>
      <x:c r="H25" s="14" t="str">
        <x:v>V16</x:v>
      </x:c>
    </x:row>
    <x:row r="26" ht="15" hidden="0" customHeight="1">
      <x:c r="A26" s="14" t="str">
        <x:v>Tools</x:v>
      </x:c>
      <x:c r="B26" s="14" t="str">
        <x:v>Electric soldering iron kit</x:v>
      </x:c>
      <x:c r="C26" s="14" t="str">
        <x:v>Deli 60 W temperature-adjustable electric soldering iron kit; plus welding/maintenance accessory set</x:v>
      </x:c>
      <x:c r="D26" s="16" t="n">
        <x:v>1</x:v>
      </x:c>
      <x:c r="E26" s="13" t="str">
        <x:v>set</x:v>
      </x:c>
      <x:c r="F26" s="17" t="n">
        <x:v>32.4</x:v>
      </x:c>
      <x:c r="G26" s="17" t="n">
        <x:f>IF(F26="","",D26*F26)</x:f>
        <x:v>32.4</x:v>
      </x:c>
      <x:c r="H26" s="14" t="str">
        <x:v>V16</x:v>
      </x:c>
    </x:row>
    <x:row r="27" ht="15" hidden="0" customHeight="1">
      <x:c r="A27" s="14" t="str">
        <x:v>Tools</x:v>
      </x:c>
      <x:c r="B27" s="14" t="str">
        <x:v>Anti-static tweezers</x:v>
      </x:c>
      <x:c r="C27" s="14" t="str">
        <x:v>Stainless anti-static tweezers; insulated coating; pointed/flat repair tool</x:v>
      </x:c>
      <x:c r="D27" s="16" t="n">
        <x:v>1</x:v>
      </x:c>
      <x:c r="E27" s="13" t="str">
        <x:v>pcs</x:v>
      </x:c>
      <x:c r="F27" s="17" t="n">
        <x:v>3.42</x:v>
      </x:c>
      <x:c r="G27" s="17" t="n">
        <x:f>IF(F27="","",D27*F27)</x:f>
        <x:v>3.42</x:v>
      </x:c>
      <x:c r="H27" s="14" t="str">
        <x:v>V17</x:v>
      </x:c>
    </x:row>
    <x:row r="28" ht="15" hidden="0" customHeight="1">
      <x:c r="A28" s="14" t="str">
        <x:v>Consumables</x:v>
      </x:c>
      <x:c r="B28" s="14" t="str">
        <x:v>Dust removal film / sticker</x:v>
      </x:c>
      <x:c r="C28" s="14" t="str">
        <x:v>Blue low-tack dust-removal adhesive film; 20 sheets</x:v>
      </x:c>
      <x:c r="D28" s="16" t="n">
        <x:v>1</x:v>
      </x:c>
      <x:c r="E28" s="13" t="str">
        <x:v>pack</x:v>
      </x:c>
      <x:c r="F28" s="17" t="n">
        <x:v>6.8</x:v>
      </x:c>
      <x:c r="G28" s="17" t="n">
        <x:f>IF(F28="","",D28*F28)</x:f>
        <x:v>6.8</x:v>
      </x:c>
      <x:c r="H28" s="14" t="str">
        <x:v>V18</x:v>
      </x:c>
    </x:row>
    <x:row r="29" ht="15" hidden="0" customHeight="1">
      <x:c r="A29" s="14" t="str">
        <x:v>Tools</x:v>
      </x:c>
      <x:c r="B29" s="14" t="str">
        <x:v>Heat-resistant measuring cup / container</x:v>
      </x:c>
      <x:c r="C29" s="14" t="str">
        <x:v>Transparent heat-resistant measuring cup/container; approx. 200 ml; high-temperature material</x:v>
      </x:c>
      <x:c r="D29" s="16" t="n">
        <x:v>1</x:v>
      </x:c>
      <x:c r="E29" s="13" t="str">
        <x:v>pcs</x:v>
      </x:c>
      <x:c r="F29" s="17" t="n">
        <x:v>18.8</x:v>
      </x:c>
      <x:c r="G29" s="17" t="n">
        <x:f>IF(F29="","",D29*F29)</x:f>
        <x:v>18.8</x:v>
      </x:c>
      <x:c r="H29" s="14" t="str">
        <x:v>V19</x:v>
      </x:c>
    </x:row>
    <x:row r="30" ht="15" hidden="0" customHeight="1">
      <x:c r="A30" s="14" t="str">
        <x:v>Tools</x:v>
      </x:c>
      <x:c r="B30" s="14" t="str">
        <x:v>Hot glue gun</x:v>
      </x:c>
      <x:c r="C30" s="14" t="str">
        <x:v>Deli hot-melt glue gun; 40 W industrial/home use; 7-11 mm glue stick compatible; 10 glue sticks included</x:v>
      </x:c>
      <x:c r="D30" s="16" t="n">
        <x:v>1</x:v>
      </x:c>
      <x:c r="E30" s="13" t="str">
        <x:v>set</x:v>
      </x:c>
      <x:c r="F30" s="17" t="n">
        <x:v>29.9</x:v>
      </x:c>
      <x:c r="G30" s="17" t="n">
        <x:f>IF(F30="","",D30*F30)</x:f>
        <x:v>29.9</x:v>
      </x:c>
      <x:c r="H30" s="14" t="str">
        <x:v>V20</x:v>
      </x:c>
    </x:row>
    <x:row r="31" ht="15" hidden="0" customHeight="1">
      <x:c r="A31" s="14" t="str">
        <x:v>Storage</x:v>
      </x:c>
      <x:c r="B31" s="14" t="str">
        <x:v>Small component storage box</x:v>
      </x:c>
      <x:c r="C31" s="14" t="str">
        <x:v>30-compartment SMD/component storage box; independent lids; for screws/electronic components</x:v>
      </x:c>
      <x:c r="D31" s="16" t="n">
        <x:v>1</x:v>
      </x:c>
      <x:c r="E31" s="13" t="str">
        <x:v>pcs</x:v>
      </x:c>
      <x:c r="F31" s="17" t="n">
        <x:v>22.8</x:v>
      </x:c>
      <x:c r="G31" s="17" t="n">
        <x:f>IF(F31="","",D31*F31)</x:f>
        <x:v>22.8</x:v>
      </x:c>
      <x:c r="H31" s="14" t="str">
        <x:v>V21</x:v>
      </x:c>
    </x:row>
    <x:row r="32" ht="15" hidden="0" customHeight="1">
      <x:c r="A32" s="14" t="str">
        <x:v>Electronic component</x:v>
      </x:c>
      <x:c r="B32" s="14" t="str">
        <x:v>LED component pack</x:v>
      </x:c>
      <x:c r="C32" s="14" t="str">
        <x:v>BZ-S2835BW9C1-02-3V-UV white 2835 SMD LED; 20 pcs/pack</x:v>
      </x:c>
      <x:c r="D32" s="16" t="n">
        <x:v>3</x:v>
      </x:c>
      <x:c r="E32" s="13" t="str">
        <x:v>packs</x:v>
      </x:c>
      <x:c r="F32" s="17" t="n">
        <x:v>3.84</x:v>
      </x:c>
      <x:c r="G32" s="17" t="n">
        <x:f>IF(F32="","",D32*F32)</x:f>
        <x:v>11.52</x:v>
      </x:c>
      <x:c r="H32" s="14" t="str">
        <x:v>V22</x:v>
      </x:c>
    </x:row>
    <x:row r="33" ht="15" hidden="0" customHeight="1">
      <x:c r="A33" s="14" t="str">
        <x:v>PCB fabrication</x:v>
      </x:c>
      <x:c r="B33" s="14" t="str">
        <x:v>JLCPCB LED PCB fabrication and SMT assembly</x:v>
      </x:c>
      <x:c r="C33" s="14" t="str">
        <x:v>FR-4; 2 layers; 1.6 mm; 7.1 cm x 7.0 cm; black solder mask; white silkscreen; 5 boards; SMT assembly included</x:v>
      </x:c>
      <x:c r="D33" s="16" t="n">
        <x:v>5</x:v>
      </x:c>
      <x:c r="E33" s="13" t="str">
        <x:v>boards</x:v>
      </x:c>
      <x:c r="F33" s="17" t="n">
        <x:v>102.55799999999999</x:v>
      </x:c>
      <x:c r="G33" s="17" t="n">
        <x:f>IF(F33="","",D33*F33)</x:f>
        <x:v>512.79</x:v>
      </x:c>
      <x:c r="H33" s="14" t="str">
        <x:v>V23</x:v>
      </x:c>
    </x:row>
    <x:row r="34" ht="15" hidden="0" customHeight="1">
      <x:c r="A34" s="14" t="str">
        <x:v>Camera / Vision</x:v>
      </x:c>
      <x:c r="B34" s="14" t="str">
        <x:v>OV5640 camera module</x:v>
      </x:c>
      <x:c r="C34" s="14" t="str">
        <x:v>5 MP OV5640 camera module; integrated auto-focus; wide-angle USB driverless module; 160-degree wide-angle lens</x:v>
      </x:c>
      <x:c r="D34" s="16" t="n">
        <x:v>2</x:v>
      </x:c>
      <x:c r="E34" s="13" t="str">
        <x:v>pcs</x:v>
      </x:c>
      <x:c r="F34" s="17" t="n">
        <x:v>73.6</x:v>
      </x:c>
      <x:c r="G34" s="17" t="n">
        <x:f>IF(F34="","",D34*F34)</x:f>
        <x:v>147.2</x:v>
      </x:c>
      <x:c r="H34" s="14" t="str">
        <x:v>V24</x:v>
      </x:c>
    </x:row>
    <x:row r="35" ht="15" hidden="0" customHeight="1">
      <x:c r="A35" s="14" t="str">
        <x:v>Mechanical component</x:v>
      </x:c>
      <x:c r="B35" s="14" t="str">
        <x:v>304 stainless steel precision bearing ball</x:v>
      </x:c>
      <x:c r="C35" s="14" t="str">
        <x:v>304 stainless bearing ball / solid steel ball; 8 mm; 50 pcs/pack</x:v>
      </x:c>
      <x:c r="D35" s="16" t="n">
        <x:v>1</x:v>
      </x:c>
      <x:c r="E35" s="13" t="str">
        <x:v>pack</x:v>
      </x:c>
      <x:c r="F35" s="17" t="n">
        <x:v>9.42</x:v>
      </x:c>
      <x:c r="G35" s="17" t="n">
        <x:f>IF(F35="","",D35*F35)</x:f>
        <x:v>9.42</x:v>
      </x:c>
      <x:c r="H35" s="14" t="str">
        <x:v>V25</x:v>
      </x:c>
    </x:row>
    <x:row r="36" ht="24" hidden="0" customHeight="1">
      <x:c r="A36" s="14" t="str">
        <x:v>LED PCB schematic BOM</x:v>
      </x:c>
      <x:c r="B36" s="14" t="str">
        <x:v>LED PCB component - BZ-S2835BW9C1-02-3V-UV</x:v>
      </x:c>
      <x:c r="C36" s="14" t="str">
        <x:v>Designator: LED1,LED2,LED3,LED4,LED5,LED6,LED7,LED8; Footprint: LED-SMD_L3.5-W2.8-FD-2835_WHITE; MPN: BZ-S2835BW9C1-02-3V-UV; Manufacturer: baizou(百洲）; LCSC/Supplier part: C2833052</x:v>
      </x:c>
      <x:c r="D36" s="16" t="n">
        <x:v>8</x:v>
      </x:c>
      <x:c r="E36" s="13" t="str">
        <x:v>pcs</x:v>
      </x:c>
      <x:c r="F36" s="17"/>
      <x:c r="G36" s="17" t="str">
        <x:f>IF(F36="","",D36*F36)</x:f>
      </x:c>
      <x:c r="H36" s="14" t="str">
        <x:v>BOM_LED-PCB.xlsx</x:v>
      </x:c>
    </x:row>
    <x:row r="37" ht="24" hidden="0" customHeight="1">
      <x:c r="A37" s="14" t="str">
        <x:v>LED PCB schematic BOM</x:v>
      </x:c>
      <x:c r="B37" s="14" t="str">
        <x:v>LED PCB component - 20kΩ</x:v>
      </x:c>
      <x:c r="C37" s="14" t="str">
        <x:v>Designator: R1; Value: 20kΩ; Footprint: R0805; MPN: RT0805CRE0720KL; Manufacturer: YAGEO(国巨); LCSC/Supplier part: C706298</x:v>
      </x:c>
      <x:c r="D37" s="16" t="n">
        <x:v>1</x:v>
      </x:c>
      <x:c r="E37" s="13" t="str">
        <x:v>pcs</x:v>
      </x:c>
      <x:c r="F37" s="17"/>
      <x:c r="G37" s="17" t="str">
        <x:f>IF(F37="","",D37*F37)</x:f>
      </x:c>
      <x:c r="H37" s="14" t="str">
        <x:v>BOM_LED-PCB.xlsx</x:v>
      </x:c>
    </x:row>
    <x:row r="38" ht="24" hidden="0" customHeight="1">
      <x:c r="A38" s="14" t="str">
        <x:v>LED PCB schematic BOM</x:v>
      </x:c>
      <x:c r="B38" s="14" t="str">
        <x:v>LED PCB component - CN5711</x:v>
      </x:c>
      <x:c r="C38" s="14" t="str">
        <x:v>Designator: U1; Footprint: SOIC-8_L5.0-W4.0-P1.27-LS6.0-BL-EP2.0; MPN: CN5711; Manufacturer: CONSONANCE(上海如韵); LCSC/Supplier part: C35634</x:v>
      </x:c>
      <x:c r="D38" s="16" t="n">
        <x:v>1</x:v>
      </x:c>
      <x:c r="E38" s="13" t="str">
        <x:v>pcs</x:v>
      </x:c>
      <x:c r="F38" s="17"/>
      <x:c r="G38" s="17" t="str">
        <x:f>IF(F38="","",D38*F38)</x:f>
      </x:c>
      <x:c r="H38" s="14" t="str">
        <x:v>BOM_LED-PCB.xlsx</x:v>
      </x:c>
    </x:row>
    <x:row r="39" ht="24" hidden="0" customHeight="1">
      <x:c r="A39" s="14" t="str">
        <x:v>LED PCB schematic BOM</x:v>
      </x:c>
      <x:c r="B39" s="14" t="str">
        <x:v>LED PCB component - MICRO-02-G4P1-A1T2</x:v>
      </x:c>
      <x:c r="C39" s="14" t="str">
        <x:v>Designator: USB3; Footprint: MICRO-USB-SMD_MICRO-02-GXPX-A1T2; MPN: MICRO-02-G4P1-A1T2; Manufacturer: Yuandi(台湾元迪); LCSC/Supplier part: C2682525</x:v>
      </x:c>
      <x:c r="D39" s="16" t="n">
        <x:v>1</x:v>
      </x:c>
      <x:c r="E39" s="13" t="str">
        <x:v>pcs</x:v>
      </x:c>
      <x:c r="F39" s="17"/>
      <x:c r="G39" s="17" t="str">
        <x:f>IF(F39="","",D39*F39)</x:f>
      </x:c>
      <x:c r="H39" s="14" t="str">
        <x:v>BOM_LED-PCB.xlsx</x:v>
      </x:c>
    </x:row>
    <x:row r="41">
      <x:c r="F41" s="22" t="str">
        <x:v>Priced subtotal</x:v>
      </x:c>
      <x:c r="G41" s="23" t="n">
        <x:f>SUM(G2:G39)</x:f>
        <x:v>1556.4499999999998</x:v>
      </x:c>
    </x:row>
  </x:sheetData>
  <x:pageMargins left="0.7" right="0.7" top="0.75" bottom="0.75" header="0.3" footer="0.3"/>
</x:worksheet>
</file>